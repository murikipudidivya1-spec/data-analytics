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af6e63fa82d1c6ba/Desktop/"/>
    </mc:Choice>
  </mc:AlternateContent>
  <xr:revisionPtr revIDLastSave="0" documentId="8_{9EEC57D4-99BC-4D7C-847B-8B3A6AEEEA68}" xr6:coauthVersionLast="47" xr6:coauthVersionMax="47" xr10:uidLastSave="{00000000-0000-0000-0000-000000000000}"/>
  <bookViews>
    <workbookView xWindow="-108" yWindow="-108" windowWidth="23256" windowHeight="13896" activeTab="2" xr2:uid="{00000000-000D-0000-FFFF-FFFF00000000}"/>
  </bookViews>
  <sheets>
    <sheet name="Sheet1" sheetId="1" r:id="rId1"/>
    <sheet name="Sheet8" sheetId="8" r:id="rId2"/>
    <sheet name="Sheet2" sheetId="9" r:id="rId3"/>
    <sheet name="Sheet7" sheetId="7" r:id="rId4"/>
  </sheets>
  <definedNames>
    <definedName name="_xlcn.WorksheetConnection_personalfinance2.xlsxTable11" hidden="1">Table1[]</definedName>
    <definedName name="Slicer_Category">#N/A</definedName>
    <definedName name="Slicer_Discription">#N/A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ad4f9b9-780c-485e-aeee-944c28a7a027" name="Table1" connection="WorksheetConnection_personal finance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7" l="1"/>
  <c r="H28" i="7"/>
  <c r="H24" i="7"/>
  <c r="H20" i="7"/>
  <c r="H16" i="7"/>
  <c r="H11" i="7"/>
  <c r="H29" i="1" l="1"/>
  <c r="H23" i="1"/>
  <c r="H19" i="1"/>
  <c r="H15" i="1"/>
  <c r="H11" i="1"/>
  <c r="H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ersonal finance (2).xlsx!Table1" type="102" refreshedVersion="5" minRefreshableVersion="5">
    <extLst>
      <ext xmlns:x15="http://schemas.microsoft.com/office/spreadsheetml/2010/11/main" uri="{DE250136-89BD-433C-8126-D09CA5730AF9}">
        <x15:connection id="Table1-9ad4f9b9-780c-485e-aeee-944c28a7a027">
          <x15:rangePr sourceName="_xlcn.WorksheetConnection_personalfinance2.xlsxTable11"/>
        </x15:connection>
      </ext>
    </extLst>
  </connection>
</connections>
</file>

<file path=xl/sharedStrings.xml><?xml version="1.0" encoding="utf-8"?>
<sst xmlns="http://schemas.openxmlformats.org/spreadsheetml/2006/main" count="420" uniqueCount="50">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</sst>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6">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14" fontId="3" fillId="4" borderId="0" xfId="0" applyNumberFormat="1" applyFont="1" applyFill="1"/>
    <xf numFmtId="0" fontId="3" fillId="4"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7B-42CB-9FC6-BF79A16731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7B-42CB-9FC6-BF79A16731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7B-42CB-9FC6-BF79A16731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07B-42CB-9FC6-BF79A16731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07B-42CB-9FC6-BF79A16731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807B-42CB-9FC6-BF79A16731A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46-4845-8325-A26A395B0F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46-4845-8325-A26A395B0F4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D46-4845-8325-A26A395B0F4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D46-4845-8325-A26A395B0F4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D46-4845-8325-A26A395B0F4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D46-4845-8325-A26A395B0F4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D46-4845-8325-A26A395B0F4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D46-4845-8325-A26A395B0F4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D46-4845-8325-A26A395B0F4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D46-4845-8325-A26A395B0F4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D46-4845-8325-A26A395B0F4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D46-4845-8325-A26A395B0F4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D46-4845-8325-A26A395B0F4D}"/>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D46-4845-8325-A26A395B0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1C-8D46-4845-8325-A26A395B0F4D}"/>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0-0C4E-4AAD-A33C-336F967FDA46}"/>
            </c:ext>
          </c:extLst>
        </c:ser>
        <c:dLbls>
          <c:showLegendKey val="0"/>
          <c:showVal val="0"/>
          <c:showCatName val="0"/>
          <c:showSerName val="0"/>
          <c:showPercent val="0"/>
          <c:showBubbleSize val="0"/>
        </c:dLbls>
        <c:axId val="380044512"/>
        <c:axId val="380048824"/>
      </c:areaChart>
      <c:catAx>
        <c:axId val="38004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8824"/>
        <c:crosses val="autoZero"/>
        <c:auto val="1"/>
        <c:lblAlgn val="ctr"/>
        <c:lblOffset val="100"/>
        <c:noMultiLvlLbl val="0"/>
      </c:catAx>
      <c:valAx>
        <c:axId val="380048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4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Sheet8!$I$3</c:f>
              <c:strCache>
                <c:ptCount val="1"/>
                <c:pt idx="0">
                  <c:v>Total</c:v>
                </c:pt>
              </c:strCache>
            </c:strRef>
          </c:tx>
          <c:spPr>
            <a:ln w="28575" cap="rnd">
              <a:solidFill>
                <a:schemeClr val="accent1"/>
              </a:solidFill>
              <a:round/>
            </a:ln>
            <a:effectLst/>
          </c:spPr>
          <c:marker>
            <c:symbol val="none"/>
          </c:marke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mooth val="0"/>
          <c:extLst>
            <c:ext xmlns:c16="http://schemas.microsoft.com/office/drawing/2014/chart" uri="{C3380CC4-5D6E-409C-BE32-E72D297353CC}">
              <c16:uniqueId val="{00000000-36B0-4382-9C3A-183DA1C842C3}"/>
            </c:ext>
          </c:extLst>
        </c:ser>
        <c:dLbls>
          <c:showLegendKey val="0"/>
          <c:showVal val="0"/>
          <c:showCatName val="0"/>
          <c:showSerName val="0"/>
          <c:showPercent val="0"/>
          <c:showBubbleSize val="0"/>
        </c:dLbls>
        <c:smooth val="0"/>
        <c:axId val="380050784"/>
        <c:axId val="380045688"/>
      </c:lineChart>
      <c:catAx>
        <c:axId val="3800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5688"/>
        <c:crosses val="autoZero"/>
        <c:auto val="1"/>
        <c:lblAlgn val="ctr"/>
        <c:lblOffset val="100"/>
        <c:noMultiLvlLbl val="0"/>
      </c:catAx>
      <c:valAx>
        <c:axId val="380045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41-4603-90D3-E1991969BCB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41-4603-90D3-E1991969BCB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41-4603-90D3-E1991969BCB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D41-4603-90D3-E1991969BCB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D41-4603-90D3-E1991969BCB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D41-4603-90D3-E1991969BCB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D41-4603-90D3-E1991969BCB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D41-4603-90D3-E1991969BCB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D41-4603-90D3-E1991969BCB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D41-4603-90D3-E1991969BCB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D41-4603-90D3-E1991969BCB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D41-4603-90D3-E1991969BCB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D41-4603-90D3-E1991969BCBB}"/>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D41-4603-90D3-E1991969BC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1C-1D41-4603-90D3-E1991969BCB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0-8BBA-43B5-A077-3D8B9C71CE37}"/>
            </c:ext>
          </c:extLst>
        </c:ser>
        <c:dLbls>
          <c:showLegendKey val="0"/>
          <c:showVal val="0"/>
          <c:showCatName val="0"/>
          <c:showSerName val="0"/>
          <c:showPercent val="0"/>
          <c:showBubbleSize val="0"/>
        </c:dLbls>
        <c:axId val="435407352"/>
        <c:axId val="435409704"/>
      </c:areaChart>
      <c:catAx>
        <c:axId val="435407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09704"/>
        <c:crosses val="autoZero"/>
        <c:auto val="1"/>
        <c:lblAlgn val="ctr"/>
        <c:lblOffset val="100"/>
        <c:noMultiLvlLbl val="0"/>
      </c:catAx>
      <c:valAx>
        <c:axId val="43540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07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 (1).xlsx]Sheet8!PivotTable6</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E4-4A81-A3D2-9DF67675AC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E4-4A81-A3D2-9DF67675ACD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E4-4A81-A3D2-9DF67675AC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4E4-4A81-A3D2-9DF67675ACD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4E4-4A81-A3D2-9DF67675AC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44E4-4A81-A3D2-9DF67675ACD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61912</xdr:rowOff>
    </xdr:from>
    <xdr:to>
      <xdr:col>4</xdr:col>
      <xdr:colOff>666750</xdr:colOff>
      <xdr:row>29</xdr:row>
      <xdr:rowOff>90487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25</xdr:row>
      <xdr:rowOff>90487</xdr:rowOff>
    </xdr:from>
    <xdr:to>
      <xdr:col>8</xdr:col>
      <xdr:colOff>1285875</xdr:colOff>
      <xdr:row>42</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1314450</xdr:colOff>
      <xdr:row>18</xdr:row>
      <xdr:rowOff>119062</xdr:rowOff>
    </xdr:from>
    <xdr:to>
      <xdr:col>15</xdr:col>
      <xdr:colOff>238125</xdr:colOff>
      <xdr:row>33</xdr:row>
      <xdr:rowOff>147637</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1</xdr:row>
      <xdr:rowOff>33337</xdr:rowOff>
    </xdr:from>
    <xdr:to>
      <xdr:col>16</xdr:col>
      <xdr:colOff>142875</xdr:colOff>
      <xdr:row>16</xdr:row>
      <xdr:rowOff>61912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1371600</xdr:colOff>
      <xdr:row>34</xdr:row>
      <xdr:rowOff>19050</xdr:rowOff>
    </xdr:from>
    <xdr:to>
      <xdr:col>11</xdr:col>
      <xdr:colOff>295275</xdr:colOff>
      <xdr:row>48</xdr:row>
      <xdr:rowOff>9525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05825"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33</xdr:row>
      <xdr:rowOff>152400</xdr:rowOff>
    </xdr:from>
    <xdr:to>
      <xdr:col>4</xdr:col>
      <xdr:colOff>466725</xdr:colOff>
      <xdr:row>43</xdr:row>
      <xdr:rowOff>85725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3175" y="61245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34</xdr:row>
      <xdr:rowOff>28575</xdr:rowOff>
    </xdr:from>
    <xdr:to>
      <xdr:col>1</xdr:col>
      <xdr:colOff>1057275</xdr:colOff>
      <xdr:row>48</xdr:row>
      <xdr:rowOff>19050</xdr:rowOff>
    </xdr:to>
    <mc:AlternateContent xmlns:mc="http://schemas.openxmlformats.org/markup-compatibility/2006" xmlns:a14="http://schemas.microsoft.com/office/drawing/2010/main">
      <mc:Choice Requires="a14">
        <xdr:graphicFrame macro="">
          <xdr:nvGraphicFramePr>
            <xdr:cNvPr id="8" name="Discription">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2286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66675</xdr:rowOff>
    </xdr:from>
    <xdr:to>
      <xdr:col>20</xdr:col>
      <xdr:colOff>0</xdr:colOff>
      <xdr:row>8</xdr:row>
      <xdr:rowOff>57150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9525" y="66675"/>
          <a:ext cx="13706475" cy="1438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pppppppppppPpp</a:t>
          </a:r>
        </a:p>
      </xdr:txBody>
    </xdr:sp>
    <xdr:clientData/>
  </xdr:twoCellAnchor>
  <xdr:oneCellAnchor>
    <xdr:from>
      <xdr:col>2</xdr:col>
      <xdr:colOff>28575</xdr:colOff>
      <xdr:row>1</xdr:row>
      <xdr:rowOff>123825</xdr:rowOff>
    </xdr:from>
    <xdr:ext cx="184731" cy="252185"/>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400175" y="304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523873</xdr:colOff>
      <xdr:row>0</xdr:row>
      <xdr:rowOff>152398</xdr:rowOff>
    </xdr:from>
    <xdr:ext cx="5105401" cy="295722"/>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3952873" y="152398"/>
          <a:ext cx="5105401"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Personal</a:t>
          </a:r>
          <a:r>
            <a:rPr lang="en-IN" sz="1400" b="1" baseline="0"/>
            <a:t> finance &amp; Budget Management Dashboard</a:t>
          </a:r>
          <a:endParaRPr lang="en-IN" sz="1400" b="1"/>
        </a:p>
      </xdr:txBody>
    </xdr:sp>
    <xdr:clientData/>
  </xdr:oneCellAnchor>
  <xdr:oneCellAnchor>
    <xdr:from>
      <xdr:col>3</xdr:col>
      <xdr:colOff>600075</xdr:colOff>
      <xdr:row>5</xdr:row>
      <xdr:rowOff>19050</xdr:rowOff>
    </xdr:from>
    <xdr:ext cx="184731" cy="252185"/>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657475" y="923925"/>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685799</xdr:colOff>
      <xdr:row>3</xdr:row>
      <xdr:rowOff>66676</xdr:rowOff>
    </xdr:from>
    <xdr:ext cx="3362326" cy="252185"/>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800599" y="609601"/>
          <a:ext cx="3362326"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0000"/>
              </a:solidFill>
            </a:rPr>
            <a:t>personal Budget Monthly Dashboard</a:t>
          </a:r>
        </a:p>
      </xdr:txBody>
    </xdr:sp>
    <xdr:clientData/>
  </xdr:oneCellAnchor>
  <xdr:twoCellAnchor>
    <xdr:from>
      <xdr:col>0</xdr:col>
      <xdr:colOff>28575</xdr:colOff>
      <xdr:row>9</xdr:row>
      <xdr:rowOff>19050</xdr:rowOff>
    </xdr:from>
    <xdr:to>
      <xdr:col>5</xdr:col>
      <xdr:colOff>200025</xdr:colOff>
      <xdr:row>15</xdr:row>
      <xdr:rowOff>161925</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28575" y="1647825"/>
          <a:ext cx="3600450" cy="1228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47624</xdr:colOff>
      <xdr:row>9</xdr:row>
      <xdr:rowOff>38100</xdr:rowOff>
    </xdr:from>
    <xdr:to>
      <xdr:col>2</xdr:col>
      <xdr:colOff>133349</xdr:colOff>
      <xdr:row>15</xdr:row>
      <xdr:rowOff>171450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47624" y="1666875"/>
          <a:ext cx="1457325" cy="121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247651</xdr:colOff>
      <xdr:row>10</xdr:row>
      <xdr:rowOff>57150</xdr:rowOff>
    </xdr:from>
    <xdr:ext cx="1993940" cy="324769"/>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619251" y="1866900"/>
          <a:ext cx="1993940" cy="32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a:t>
          </a:r>
          <a:r>
            <a:rPr lang="en-IN" sz="1600" b="1" baseline="0"/>
            <a:t> Expenses</a:t>
          </a:r>
          <a:endParaRPr lang="en-IN" sz="1600" b="1"/>
        </a:p>
      </xdr:txBody>
    </xdr:sp>
    <xdr:clientData/>
  </xdr:oneCellAnchor>
  <xdr:oneCellAnchor>
    <xdr:from>
      <xdr:col>2</xdr:col>
      <xdr:colOff>628650</xdr:colOff>
      <xdr:row>13</xdr:row>
      <xdr:rowOff>85725</xdr:rowOff>
    </xdr:from>
    <xdr:ext cx="692497" cy="252185"/>
    <xdr:sp macro="" textlink="Sheet7!H11">
      <xdr:nvSpPr>
        <xdr:cNvPr id="11" name="TextBox 10">
          <a:extLst>
            <a:ext uri="{FF2B5EF4-FFF2-40B4-BE49-F238E27FC236}">
              <a16:creationId xmlns:a16="http://schemas.microsoft.com/office/drawing/2014/main" id="{00000000-0008-0000-0200-00000B000000}"/>
            </a:ext>
          </a:extLst>
        </xdr:cNvPr>
        <xdr:cNvSpPr txBox="1"/>
      </xdr:nvSpPr>
      <xdr:spPr>
        <a:xfrm>
          <a:off x="2000250" y="2438400"/>
          <a:ext cx="692497"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21AA9-9324-4E39-B135-8AEAD8251715}" type="TxLink">
            <a:rPr lang="en-US" sz="1100" b="0" i="0" u="none" strike="noStrike">
              <a:solidFill>
                <a:srgbClr val="000000"/>
              </a:solidFill>
              <a:latin typeface="Aptos Narrow"/>
            </a:rPr>
            <a:pPr/>
            <a:t>259100</a:t>
          </a:fld>
          <a:endParaRPr lang="en-IN" sz="1100"/>
        </a:p>
      </xdr:txBody>
    </xdr:sp>
    <xdr:clientData/>
  </xdr:oneCellAnchor>
  <xdr:twoCellAnchor>
    <xdr:from>
      <xdr:col>5</xdr:col>
      <xdr:colOff>409575</xdr:colOff>
      <xdr:row>9</xdr:row>
      <xdr:rowOff>9525</xdr:rowOff>
    </xdr:from>
    <xdr:to>
      <xdr:col>10</xdr:col>
      <xdr:colOff>285750</xdr:colOff>
      <xdr:row>16</xdr:row>
      <xdr:rowOff>47626</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3838575" y="1638300"/>
          <a:ext cx="3305175" cy="130492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5</xdr:col>
      <xdr:colOff>428625</xdr:colOff>
      <xdr:row>9</xdr:row>
      <xdr:rowOff>28575</xdr:rowOff>
    </xdr:from>
    <xdr:to>
      <xdr:col>7</xdr:col>
      <xdr:colOff>657225</xdr:colOff>
      <xdr:row>16</xdr:row>
      <xdr:rowOff>38100</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3857625" y="1657350"/>
          <a:ext cx="160020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619125</xdr:colOff>
      <xdr:row>9</xdr:row>
      <xdr:rowOff>95250</xdr:rowOff>
    </xdr:from>
    <xdr:ext cx="1889135" cy="554911"/>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5419725" y="1724025"/>
          <a:ext cx="1889135" cy="55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Total</a:t>
          </a:r>
          <a:r>
            <a:rPr lang="en-IN" sz="1100" b="1" baseline="0"/>
            <a:t> </a:t>
          </a:r>
          <a:r>
            <a:rPr lang="en-IN" sz="1050" b="1" i="1" u="none" baseline="0"/>
            <a:t>Expenses</a:t>
          </a:r>
          <a:r>
            <a:rPr lang="en-IN" sz="1100" b="1" baseline="0"/>
            <a:t> by </a:t>
          </a:r>
        </a:p>
        <a:p>
          <a:r>
            <a:rPr lang="en-IN" sz="1100" b="1" baseline="0"/>
            <a:t>category(food</a:t>
          </a:r>
          <a:r>
            <a:rPr lang="en-IN" sz="1100" baseline="0"/>
            <a:t>)</a:t>
          </a:r>
          <a:endParaRPr lang="en-IN" sz="1100"/>
        </a:p>
      </xdr:txBody>
    </xdr:sp>
    <xdr:clientData/>
  </xdr:oneCellAnchor>
  <xdr:oneCellAnchor>
    <xdr:from>
      <xdr:col>8</xdr:col>
      <xdr:colOff>352425</xdr:colOff>
      <xdr:row>13</xdr:row>
      <xdr:rowOff>38100</xdr:rowOff>
    </xdr:from>
    <xdr:ext cx="607859" cy="252185"/>
    <xdr:sp macro="" textlink="Sheet7!H16">
      <xdr:nvSpPr>
        <xdr:cNvPr id="16" name="TextBox 15">
          <a:extLst>
            <a:ext uri="{FF2B5EF4-FFF2-40B4-BE49-F238E27FC236}">
              <a16:creationId xmlns:a16="http://schemas.microsoft.com/office/drawing/2014/main" id="{00000000-0008-0000-0200-000010000000}"/>
            </a:ext>
          </a:extLst>
        </xdr:cNvPr>
        <xdr:cNvSpPr txBox="1"/>
      </xdr:nvSpPr>
      <xdr:spPr>
        <a:xfrm>
          <a:off x="5838825" y="239077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215FD-3572-424C-BDFF-60F1429D8862}" type="TxLink">
            <a:rPr lang="en-US" sz="1100" b="0" i="0" u="none" strike="noStrike">
              <a:solidFill>
                <a:srgbClr val="000000"/>
              </a:solidFill>
              <a:latin typeface="Aptos Narrow"/>
            </a:rPr>
            <a:pPr/>
            <a:t>55800</a:t>
          </a:fld>
          <a:endParaRPr lang="en-IN" sz="1100"/>
        </a:p>
      </xdr:txBody>
    </xdr:sp>
    <xdr:clientData/>
  </xdr:oneCellAnchor>
  <xdr:twoCellAnchor>
    <xdr:from>
      <xdr:col>10</xdr:col>
      <xdr:colOff>361950</xdr:colOff>
      <xdr:row>8</xdr:row>
      <xdr:rowOff>171450</xdr:rowOff>
    </xdr:from>
    <xdr:to>
      <xdr:col>15</xdr:col>
      <xdr:colOff>114300</xdr:colOff>
      <xdr:row>15</xdr:row>
      <xdr:rowOff>161925</xdr:rowOff>
    </xdr:to>
    <xdr:sp macro="" textlink="Sheet7!H20">
      <xdr:nvSpPr>
        <xdr:cNvPr id="19" name="Rounded Rectangle 18">
          <a:extLst>
            <a:ext uri="{FF2B5EF4-FFF2-40B4-BE49-F238E27FC236}">
              <a16:creationId xmlns:a16="http://schemas.microsoft.com/office/drawing/2014/main" id="{00000000-0008-0000-0200-000013000000}"/>
            </a:ext>
          </a:extLst>
        </xdr:cNvPr>
        <xdr:cNvSpPr/>
      </xdr:nvSpPr>
      <xdr:spPr>
        <a:xfrm>
          <a:off x="7219950" y="1619250"/>
          <a:ext cx="3181350" cy="1257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8B98FF-324F-4D65-B911-47D922ABECEA}" type="TxLink">
            <a:rPr lang="en-US" sz="1100" b="0" i="0" u="none" strike="noStrike">
              <a:solidFill>
                <a:srgbClr val="000000"/>
              </a:solidFill>
              <a:latin typeface="Aptos Narrow"/>
            </a:rPr>
            <a:pPr algn="l"/>
            <a:t>4798.148148</a:t>
          </a:fld>
          <a:endParaRPr lang="en-IN" sz="1100"/>
        </a:p>
      </xdr:txBody>
    </xdr:sp>
    <xdr:clientData/>
  </xdr:twoCellAnchor>
  <xdr:twoCellAnchor>
    <xdr:from>
      <xdr:col>10</xdr:col>
      <xdr:colOff>371477</xdr:colOff>
      <xdr:row>9</xdr:row>
      <xdr:rowOff>0</xdr:rowOff>
    </xdr:from>
    <xdr:to>
      <xdr:col>12</xdr:col>
      <xdr:colOff>495301</xdr:colOff>
      <xdr:row>15</xdr:row>
      <xdr:rowOff>152400</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7229477" y="1628775"/>
          <a:ext cx="1495424"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647700</xdr:colOff>
      <xdr:row>10</xdr:row>
      <xdr:rowOff>19050</xdr:rowOff>
    </xdr:from>
    <xdr:ext cx="938719" cy="295722"/>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8877300" y="1828800"/>
          <a:ext cx="938719"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Average</a:t>
          </a:r>
        </a:p>
      </xdr:txBody>
    </xdr:sp>
    <xdr:clientData/>
  </xdr:oneCellAnchor>
  <xdr:oneCellAnchor>
    <xdr:from>
      <xdr:col>12</xdr:col>
      <xdr:colOff>504825</xdr:colOff>
      <xdr:row>12</xdr:row>
      <xdr:rowOff>142875</xdr:rowOff>
    </xdr:from>
    <xdr:ext cx="1115690" cy="252185"/>
    <xdr:sp macro="" textlink="Sheet7!H20">
      <xdr:nvSpPr>
        <xdr:cNvPr id="22" name="TextBox 21">
          <a:extLst>
            <a:ext uri="{FF2B5EF4-FFF2-40B4-BE49-F238E27FC236}">
              <a16:creationId xmlns:a16="http://schemas.microsoft.com/office/drawing/2014/main" id="{00000000-0008-0000-0200-000016000000}"/>
            </a:ext>
          </a:extLst>
        </xdr:cNvPr>
        <xdr:cNvSpPr txBox="1"/>
      </xdr:nvSpPr>
      <xdr:spPr>
        <a:xfrm>
          <a:off x="8734425" y="2314575"/>
          <a:ext cx="1115690"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B4F7C8-88EC-4779-BF7C-81416623D0A3}" type="TxLink">
            <a:rPr lang="en-US" sz="1100" b="0" i="0" u="none" strike="noStrike">
              <a:solidFill>
                <a:srgbClr val="000000"/>
              </a:solidFill>
              <a:latin typeface="Aptos Narrow"/>
            </a:rPr>
            <a:pPr/>
            <a:t>4798.148148</a:t>
          </a:fld>
          <a:endParaRPr lang="en-IN" sz="1100"/>
        </a:p>
      </xdr:txBody>
    </xdr:sp>
    <xdr:clientData/>
  </xdr:oneCellAnchor>
  <xdr:twoCellAnchor>
    <xdr:from>
      <xdr:col>15</xdr:col>
      <xdr:colOff>190499</xdr:colOff>
      <xdr:row>9</xdr:row>
      <xdr:rowOff>66675</xdr:rowOff>
    </xdr:from>
    <xdr:to>
      <xdr:col>19</xdr:col>
      <xdr:colOff>619124</xdr:colOff>
      <xdr:row>16</xdr:row>
      <xdr:rowOff>9525</xdr:rowOff>
    </xdr:to>
    <xdr:sp macro="" textlink="">
      <xdr:nvSpPr>
        <xdr:cNvPr id="23" name="Rounded Rectangle 22">
          <a:extLst>
            <a:ext uri="{FF2B5EF4-FFF2-40B4-BE49-F238E27FC236}">
              <a16:creationId xmlns:a16="http://schemas.microsoft.com/office/drawing/2014/main" id="{00000000-0008-0000-0200-000017000000}"/>
            </a:ext>
          </a:extLst>
        </xdr:cNvPr>
        <xdr:cNvSpPr/>
      </xdr:nvSpPr>
      <xdr:spPr>
        <a:xfrm>
          <a:off x="10477499" y="1695450"/>
          <a:ext cx="3171825" cy="12096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tttttttttttttttt</a:t>
          </a:r>
        </a:p>
      </xdr:txBody>
    </xdr:sp>
    <xdr:clientData/>
  </xdr:twoCellAnchor>
  <xdr:twoCellAnchor>
    <xdr:from>
      <xdr:col>15</xdr:col>
      <xdr:colOff>180975</xdr:colOff>
      <xdr:row>9</xdr:row>
      <xdr:rowOff>76201</xdr:rowOff>
    </xdr:from>
    <xdr:to>
      <xdr:col>17</xdr:col>
      <xdr:colOff>285750</xdr:colOff>
      <xdr:row>15</xdr:row>
      <xdr:rowOff>171451</xdr:rowOff>
    </xdr:to>
    <xdr:sp macro="" textlink="">
      <xdr:nvSpPr>
        <xdr:cNvPr id="24" name="Rounded Rectangle 23">
          <a:extLst>
            <a:ext uri="{FF2B5EF4-FFF2-40B4-BE49-F238E27FC236}">
              <a16:creationId xmlns:a16="http://schemas.microsoft.com/office/drawing/2014/main" id="{00000000-0008-0000-0200-000018000000}"/>
            </a:ext>
          </a:extLst>
        </xdr:cNvPr>
        <xdr:cNvSpPr/>
      </xdr:nvSpPr>
      <xdr:spPr>
        <a:xfrm>
          <a:off x="10467975" y="1704976"/>
          <a:ext cx="1476375"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323850</xdr:colOff>
      <xdr:row>10</xdr:row>
      <xdr:rowOff>57150</xdr:rowOff>
    </xdr:from>
    <xdr:ext cx="1887676" cy="441018"/>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1982450" y="1866900"/>
          <a:ext cx="1887676" cy="44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Total</a:t>
          </a:r>
          <a:r>
            <a:rPr lang="en-IN" sz="1200" b="1" baseline="0"/>
            <a:t> Expenses by</a:t>
          </a:r>
        </a:p>
        <a:p>
          <a:r>
            <a:rPr lang="en-IN" sz="1200" b="1" baseline="0"/>
            <a:t>month</a:t>
          </a:r>
          <a:endParaRPr lang="en-IN" sz="1200" b="1"/>
        </a:p>
      </xdr:txBody>
    </xdr:sp>
    <xdr:clientData/>
  </xdr:oneCellAnchor>
  <xdr:oneCellAnchor>
    <xdr:from>
      <xdr:col>17</xdr:col>
      <xdr:colOff>523875</xdr:colOff>
      <xdr:row>13</xdr:row>
      <xdr:rowOff>171450</xdr:rowOff>
    </xdr:from>
    <xdr:ext cx="607859" cy="252185"/>
    <xdr:sp macro="" textlink="Sheet7!H24">
      <xdr:nvSpPr>
        <xdr:cNvPr id="26" name="TextBox 25">
          <a:extLst>
            <a:ext uri="{FF2B5EF4-FFF2-40B4-BE49-F238E27FC236}">
              <a16:creationId xmlns:a16="http://schemas.microsoft.com/office/drawing/2014/main" id="{00000000-0008-0000-0200-00001A000000}"/>
            </a:ext>
          </a:extLst>
        </xdr:cNvPr>
        <xdr:cNvSpPr txBox="1"/>
      </xdr:nvSpPr>
      <xdr:spPr>
        <a:xfrm>
          <a:off x="12182475" y="252412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91BF6A-ABCD-41FD-8465-50E1BA8C247E}" type="TxLink">
            <a:rPr lang="en-US" sz="1100" b="0" i="0" u="none" strike="noStrike">
              <a:solidFill>
                <a:srgbClr val="000000"/>
              </a:solidFill>
              <a:latin typeface="Aptos Narrow"/>
            </a:rPr>
            <a:pPr/>
            <a:t>23900</a:t>
          </a:fld>
          <a:endParaRPr lang="en-IN" sz="1100"/>
        </a:p>
      </xdr:txBody>
    </xdr:sp>
    <xdr:clientData/>
  </xdr:oneCellAnchor>
  <xdr:twoCellAnchor editAs="oneCell">
    <xdr:from>
      <xdr:col>0</xdr:col>
      <xdr:colOff>0</xdr:colOff>
      <xdr:row>17</xdr:row>
      <xdr:rowOff>0</xdr:rowOff>
    </xdr:from>
    <xdr:to>
      <xdr:col>2</xdr:col>
      <xdr:colOff>457200</xdr:colOff>
      <xdr:row>30</xdr:row>
      <xdr:rowOff>171450</xdr:rowOff>
    </xdr:to>
    <mc:AlternateContent xmlns:mc="http://schemas.openxmlformats.org/markup-compatibility/2006" xmlns:a14="http://schemas.microsoft.com/office/drawing/2010/main">
      <mc:Choice Requires="a14">
        <xdr:graphicFrame macro="">
          <xdr:nvGraphicFramePr>
            <xdr:cNvPr id="27" name="Discription 1">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2</xdr:col>
      <xdr:colOff>457200</xdr:colOff>
      <xdr:row>41</xdr:row>
      <xdr:rowOff>114300</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79120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0</xdr:rowOff>
    </xdr:from>
    <xdr:to>
      <xdr:col>2</xdr:col>
      <xdr:colOff>457200</xdr:colOff>
      <xdr:row>56</xdr:row>
      <xdr:rowOff>171450</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778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523875</xdr:colOff>
      <xdr:row>17</xdr:row>
      <xdr:rowOff>9525</xdr:rowOff>
    </xdr:from>
    <xdr:to>
      <xdr:col>19</xdr:col>
      <xdr:colOff>666750</xdr:colOff>
      <xdr:row>56</xdr:row>
      <xdr:rowOff>152400</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1895475" y="3086100"/>
          <a:ext cx="11801475" cy="7200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17</xdr:row>
      <xdr:rowOff>9525</xdr:rowOff>
    </xdr:from>
    <xdr:to>
      <xdr:col>9</xdr:col>
      <xdr:colOff>481013</xdr:colOff>
      <xdr:row>34</xdr:row>
      <xdr:rowOff>71438</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495299</xdr:colOff>
      <xdr:row>17</xdr:row>
      <xdr:rowOff>85725</xdr:rowOff>
    </xdr:from>
    <xdr:to>
      <xdr:col>16</xdr:col>
      <xdr:colOff>504824</xdr:colOff>
      <xdr:row>34</xdr:row>
      <xdr:rowOff>57150</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34</xdr:row>
      <xdr:rowOff>161925</xdr:rowOff>
    </xdr:from>
    <xdr:to>
      <xdr:col>9</xdr:col>
      <xdr:colOff>447675</xdr:colOff>
      <xdr:row>50</xdr:row>
      <xdr:rowOff>9525</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2.437499652777" createdVersion="5" refreshedVersion="5" minRefreshableVersion="3" recordCount="60" xr:uid="{00000000-000A-0000-FFFF-FFFF02000000}">
  <cacheSource type="worksheet">
    <worksheetSource ref="A1:E61" sheet="Sheet7"/>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H3:I18" firstHeaderRow="1" firstDataRow="1" firstDataCol="1"/>
  <pivotFields count="5">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axis="axisRow" showAll="0">
      <items count="15">
        <item x="6"/>
        <item x="2"/>
        <item x="4"/>
        <item x="11"/>
        <item x="8"/>
        <item x="1"/>
        <item x="0"/>
        <item x="3"/>
        <item x="7"/>
        <item x="9"/>
        <item x="12"/>
        <item x="10"/>
        <item x="5"/>
        <item x="13"/>
        <item t="default"/>
      </items>
    </pivotField>
    <pivotField dataField="1"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Actual amount" fld="4" baseField="0" baseItem="0"/>
  </dataFields>
  <chartFormats count="3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3" count="1" selected="0">
            <x v="0"/>
          </reference>
        </references>
      </pivotArea>
    </chartFormat>
    <chartFormat chart="16" format="32">
      <pivotArea type="data" outline="0" fieldPosition="0">
        <references count="2">
          <reference field="4294967294" count="1" selected="0">
            <x v="0"/>
          </reference>
          <reference field="3" count="1" selected="0">
            <x v="1"/>
          </reference>
        </references>
      </pivotArea>
    </chartFormat>
    <chartFormat chart="16" format="33">
      <pivotArea type="data" outline="0" fieldPosition="0">
        <references count="2">
          <reference field="4294967294" count="1" selected="0">
            <x v="0"/>
          </reference>
          <reference field="3" count="1" selected="0">
            <x v="2"/>
          </reference>
        </references>
      </pivotArea>
    </chartFormat>
    <chartFormat chart="16" format="34">
      <pivotArea type="data" outline="0" fieldPosition="0">
        <references count="2">
          <reference field="4294967294" count="1" selected="0">
            <x v="0"/>
          </reference>
          <reference field="3" count="1" selected="0">
            <x v="3"/>
          </reference>
        </references>
      </pivotArea>
    </chartFormat>
    <chartFormat chart="16" format="35">
      <pivotArea type="data" outline="0" fieldPosition="0">
        <references count="2">
          <reference field="4294967294" count="1" selected="0">
            <x v="0"/>
          </reference>
          <reference field="3" count="1" selected="0">
            <x v="4"/>
          </reference>
        </references>
      </pivotArea>
    </chartFormat>
    <chartFormat chart="16" format="36">
      <pivotArea type="data" outline="0" fieldPosition="0">
        <references count="2">
          <reference field="4294967294" count="1" selected="0">
            <x v="0"/>
          </reference>
          <reference field="3" count="1" selected="0">
            <x v="5"/>
          </reference>
        </references>
      </pivotArea>
    </chartFormat>
    <chartFormat chart="16" format="37">
      <pivotArea type="data" outline="0" fieldPosition="0">
        <references count="2">
          <reference field="4294967294" count="1" selected="0">
            <x v="0"/>
          </reference>
          <reference field="3" count="1" selected="0">
            <x v="6"/>
          </reference>
        </references>
      </pivotArea>
    </chartFormat>
    <chartFormat chart="16" format="38">
      <pivotArea type="data" outline="0" fieldPosition="0">
        <references count="2">
          <reference field="4294967294" count="1" selected="0">
            <x v="0"/>
          </reference>
          <reference field="3" count="1" selected="0">
            <x v="7"/>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9"/>
          </reference>
        </references>
      </pivotArea>
    </chartFormat>
    <chartFormat chart="16" format="41">
      <pivotArea type="data" outline="0" fieldPosition="0">
        <references count="2">
          <reference field="4294967294" count="1" selected="0">
            <x v="0"/>
          </reference>
          <reference field="3" count="1" selected="0">
            <x v="10"/>
          </reference>
        </references>
      </pivotArea>
    </chartFormat>
    <chartFormat chart="16" format="42">
      <pivotArea type="data" outline="0" fieldPosition="0">
        <references count="2">
          <reference field="4294967294" count="1" selected="0">
            <x v="0"/>
          </reference>
          <reference field="3" count="1" selected="0">
            <x v="11"/>
          </reference>
        </references>
      </pivotArea>
    </chartFormat>
    <chartFormat chart="16" format="43">
      <pivotArea type="data" outline="0" fieldPosition="0">
        <references count="2">
          <reference field="4294967294" count="1" selected="0">
            <x v="0"/>
          </reference>
          <reference field="3" count="1" selected="0">
            <x v="12"/>
          </reference>
        </references>
      </pivotArea>
    </chartFormat>
    <chartFormat chart="16" format="44">
      <pivotArea type="data" outline="0" fieldPosition="0">
        <references count="2">
          <reference field="4294967294" count="1" selected="0">
            <x v="0"/>
          </reference>
          <reference field="3" count="1" selected="0">
            <x v="13"/>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8" name="PivotTable8"/>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8" name="PivotTable8"/>
  </pivotTables>
  <data>
    <tabular pivotCacheId="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00000000-0013-0000-FFFF-FFFF03000000}" sourceName="Discription">
  <pivotTables>
    <pivotTable tabId="8" name="PivotTable8"/>
  </pivotTables>
  <data>
    <tabular pivotCacheId="1">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rowHeight="241300"/>
  <slicer name="Category" xr10:uid="{00000000-0014-0000-FFFF-FFFF02000000}" cache="Slicer_Category" caption="Category" rowHeight="241300"/>
  <slicer name="Discription" xr10:uid="{00000000-0014-0000-FFFF-FFFF03000000}" cache="Slicer_Discription" caption="Discription"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0000000-0014-0000-FFFF-FFFF04000000}" cache="Slicer_Month" caption="Month" rowHeight="241300"/>
  <slicer name="Category 1" xr10:uid="{00000000-0014-0000-FFFF-FFFF05000000}" cache="Slicer_Category" caption="Category" rowHeight="241300"/>
  <slicer name="Discription 1" xr10:uid="{00000000-0014-0000-FFFF-FFFF06000000}" cache="Slicer_Discription" caption="Discrip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E62" totalsRowShown="0">
  <autoFilter ref="A2:E62" xr:uid="{00000000-0009-0000-0100-000001000000}"/>
  <tableColumns count="5">
    <tableColumn id="1" xr3:uid="{00000000-0010-0000-0000-000001000000}" name="Column1" dataDxfId="0"/>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workbookViewId="0">
      <selection activeCell="H5" sqref="H5:H29"/>
    </sheetView>
  </sheetViews>
  <sheetFormatPr defaultRowHeight="14.4" x14ac:dyDescent="0.3"/>
  <cols>
    <col min="1" max="1" width="10.33203125" bestFit="1" customWidth="1"/>
    <col min="2" max="2" width="10.109375" customWidth="1"/>
    <col min="3" max="3" width="13.44140625" customWidth="1"/>
    <col min="4" max="4" width="17.6640625" customWidth="1"/>
    <col min="5" max="5" width="16.77734375" customWidth="1"/>
    <col min="8" max="8" width="32.33203125" customWidth="1"/>
  </cols>
  <sheetData>
    <row r="1" spans="1:8" ht="15.6" x14ac:dyDescent="0.3">
      <c r="A1" s="1" t="s">
        <v>0</v>
      </c>
      <c r="B1" s="2" t="s">
        <v>1</v>
      </c>
      <c r="C1" s="2" t="s">
        <v>2</v>
      </c>
      <c r="D1" s="2" t="s">
        <v>3</v>
      </c>
      <c r="E1" s="2" t="s">
        <v>4</v>
      </c>
      <c r="F1" s="3"/>
    </row>
    <row r="2" spans="1:8" x14ac:dyDescent="0.3">
      <c r="A2" s="4" t="s">
        <v>5</v>
      </c>
      <c r="B2" t="s">
        <v>6</v>
      </c>
      <c r="C2" t="s">
        <v>7</v>
      </c>
      <c r="D2" t="s">
        <v>8</v>
      </c>
      <c r="E2" t="s">
        <v>9</v>
      </c>
    </row>
    <row r="3" spans="1:8" x14ac:dyDescent="0.3">
      <c r="A3" s="4">
        <v>45662</v>
      </c>
      <c r="B3" t="s">
        <v>10</v>
      </c>
      <c r="C3" t="s">
        <v>11</v>
      </c>
      <c r="D3" t="s">
        <v>12</v>
      </c>
      <c r="E3">
        <v>12000</v>
      </c>
    </row>
    <row r="4" spans="1:8" x14ac:dyDescent="0.3">
      <c r="A4" s="4">
        <v>45665</v>
      </c>
      <c r="B4" t="s">
        <v>10</v>
      </c>
      <c r="C4" t="s">
        <v>13</v>
      </c>
      <c r="D4" t="s">
        <v>14</v>
      </c>
      <c r="E4">
        <v>4200</v>
      </c>
    </row>
    <row r="5" spans="1:8" x14ac:dyDescent="0.3">
      <c r="A5" s="4">
        <v>45669</v>
      </c>
      <c r="B5" t="s">
        <v>10</v>
      </c>
      <c r="C5" t="s">
        <v>15</v>
      </c>
      <c r="D5" t="s">
        <v>16</v>
      </c>
      <c r="E5">
        <v>2800</v>
      </c>
      <c r="H5" s="5" t="s">
        <v>17</v>
      </c>
    </row>
    <row r="6" spans="1:8" x14ac:dyDescent="0.3">
      <c r="A6" s="4">
        <v>45675</v>
      </c>
      <c r="B6" t="s">
        <v>10</v>
      </c>
      <c r="C6" t="s">
        <v>18</v>
      </c>
      <c r="D6" t="s">
        <v>19</v>
      </c>
      <c r="E6">
        <v>2300</v>
      </c>
      <c r="H6" s="6">
        <f>SUM(E3:E62)</f>
        <v>295000</v>
      </c>
    </row>
    <row r="7" spans="1:8" x14ac:dyDescent="0.3">
      <c r="A7" s="4">
        <v>45682</v>
      </c>
      <c r="B7" t="s">
        <v>10</v>
      </c>
      <c r="C7" t="s">
        <v>20</v>
      </c>
      <c r="D7" t="s">
        <v>21</v>
      </c>
      <c r="E7">
        <v>2600</v>
      </c>
    </row>
    <row r="8" spans="1:8" x14ac:dyDescent="0.3">
      <c r="A8" s="4">
        <v>45693</v>
      </c>
      <c r="B8" t="s">
        <v>22</v>
      </c>
      <c r="C8" t="s">
        <v>11</v>
      </c>
      <c r="D8" t="s">
        <v>12</v>
      </c>
      <c r="E8">
        <v>12000</v>
      </c>
    </row>
    <row r="9" spans="1:8" x14ac:dyDescent="0.3">
      <c r="A9" s="4">
        <v>45697</v>
      </c>
      <c r="B9" t="s">
        <v>22</v>
      </c>
      <c r="C9" t="s">
        <v>13</v>
      </c>
      <c r="D9" t="s">
        <v>14</v>
      </c>
      <c r="E9">
        <v>5100</v>
      </c>
    </row>
    <row r="10" spans="1:8" x14ac:dyDescent="0.3">
      <c r="A10" s="4">
        <v>45700</v>
      </c>
      <c r="B10" t="s">
        <v>22</v>
      </c>
      <c r="C10" t="s">
        <v>15</v>
      </c>
      <c r="D10" t="s">
        <v>16</v>
      </c>
      <c r="E10">
        <v>3200</v>
      </c>
      <c r="H10" s="2" t="s">
        <v>23</v>
      </c>
    </row>
    <row r="11" spans="1:8" x14ac:dyDescent="0.3">
      <c r="A11" s="4">
        <v>45706</v>
      </c>
      <c r="B11" t="s">
        <v>22</v>
      </c>
      <c r="C11" t="s">
        <v>18</v>
      </c>
      <c r="D11" t="s">
        <v>19</v>
      </c>
      <c r="E11">
        <v>1900</v>
      </c>
      <c r="H11" s="6">
        <f>SUMIF(C:C,"food",E:E)</f>
        <v>55800</v>
      </c>
    </row>
    <row r="12" spans="1:8" x14ac:dyDescent="0.3">
      <c r="A12" s="4">
        <v>45712</v>
      </c>
      <c r="B12" t="s">
        <v>22</v>
      </c>
      <c r="C12" t="s">
        <v>20</v>
      </c>
      <c r="D12" t="s">
        <v>24</v>
      </c>
      <c r="E12">
        <v>2400</v>
      </c>
    </row>
    <row r="13" spans="1:8" x14ac:dyDescent="0.3">
      <c r="A13" s="4">
        <v>45721</v>
      </c>
      <c r="B13" t="s">
        <v>25</v>
      </c>
      <c r="C13" t="s">
        <v>11</v>
      </c>
      <c r="D13" t="s">
        <v>12</v>
      </c>
      <c r="E13">
        <v>12000</v>
      </c>
    </row>
    <row r="14" spans="1:8" x14ac:dyDescent="0.3">
      <c r="A14" s="4">
        <v>45724</v>
      </c>
      <c r="B14" t="s">
        <v>25</v>
      </c>
      <c r="C14" t="s">
        <v>13</v>
      </c>
      <c r="D14" t="s">
        <v>14</v>
      </c>
      <c r="E14">
        <v>3900</v>
      </c>
      <c r="H14" s="2" t="s">
        <v>26</v>
      </c>
    </row>
    <row r="15" spans="1:8" x14ac:dyDescent="0.3">
      <c r="A15" s="4">
        <v>45730</v>
      </c>
      <c r="B15" t="s">
        <v>25</v>
      </c>
      <c r="C15" t="s">
        <v>15</v>
      </c>
      <c r="D15" t="s">
        <v>27</v>
      </c>
      <c r="E15">
        <v>2600</v>
      </c>
      <c r="H15" s="6">
        <f>AVERAGE(E3:E62)</f>
        <v>4916.666666666667</v>
      </c>
    </row>
    <row r="16" spans="1:8" x14ac:dyDescent="0.3">
      <c r="A16" s="4">
        <v>45736</v>
      </c>
      <c r="B16" t="s">
        <v>25</v>
      </c>
      <c r="C16" t="s">
        <v>18</v>
      </c>
      <c r="D16" t="s">
        <v>28</v>
      </c>
      <c r="E16">
        <v>1500</v>
      </c>
    </row>
    <row r="17" spans="1:8" x14ac:dyDescent="0.3">
      <c r="A17" s="4">
        <v>45742</v>
      </c>
      <c r="B17" t="s">
        <v>25</v>
      </c>
      <c r="C17" t="s">
        <v>20</v>
      </c>
      <c r="D17" t="s">
        <v>21</v>
      </c>
      <c r="E17">
        <v>2300</v>
      </c>
    </row>
    <row r="18" spans="1:8" x14ac:dyDescent="0.3">
      <c r="A18" s="4">
        <v>45752</v>
      </c>
      <c r="B18" t="s">
        <v>29</v>
      </c>
      <c r="C18" t="s">
        <v>11</v>
      </c>
      <c r="D18" t="s">
        <v>12</v>
      </c>
      <c r="E18">
        <v>12000</v>
      </c>
      <c r="H18" s="7" t="s">
        <v>30</v>
      </c>
    </row>
    <row r="19" spans="1:8" x14ac:dyDescent="0.3">
      <c r="A19" s="4">
        <v>45756</v>
      </c>
      <c r="B19" t="s">
        <v>29</v>
      </c>
      <c r="C19" t="s">
        <v>13</v>
      </c>
      <c r="D19" t="s">
        <v>14</v>
      </c>
      <c r="E19">
        <v>4500</v>
      </c>
      <c r="H19" s="6">
        <f>SUMIF(B:B,"January",E:E)</f>
        <v>23900</v>
      </c>
    </row>
    <row r="20" spans="1:8" x14ac:dyDescent="0.3">
      <c r="A20" s="4">
        <v>45760</v>
      </c>
      <c r="B20" t="s">
        <v>29</v>
      </c>
      <c r="C20" t="s">
        <v>15</v>
      </c>
      <c r="D20" t="s">
        <v>31</v>
      </c>
      <c r="E20">
        <v>3000</v>
      </c>
    </row>
    <row r="21" spans="1:8" x14ac:dyDescent="0.3">
      <c r="A21" s="4">
        <v>45766</v>
      </c>
      <c r="B21" t="s">
        <v>29</v>
      </c>
      <c r="C21" t="s">
        <v>18</v>
      </c>
      <c r="D21" t="s">
        <v>19</v>
      </c>
      <c r="E21">
        <v>2200</v>
      </c>
    </row>
    <row r="22" spans="1:8" x14ac:dyDescent="0.3">
      <c r="A22" s="4">
        <v>45772</v>
      </c>
      <c r="B22" t="s">
        <v>29</v>
      </c>
      <c r="C22" t="s">
        <v>20</v>
      </c>
      <c r="D22" t="s">
        <v>21</v>
      </c>
      <c r="E22">
        <v>2500</v>
      </c>
      <c r="H22" s="7" t="s">
        <v>32</v>
      </c>
    </row>
    <row r="23" spans="1:8" x14ac:dyDescent="0.3">
      <c r="A23" s="4">
        <v>45782</v>
      </c>
      <c r="B23" t="s">
        <v>33</v>
      </c>
      <c r="C23" t="s">
        <v>11</v>
      </c>
      <c r="D23" t="s">
        <v>12</v>
      </c>
      <c r="E23">
        <v>12000</v>
      </c>
      <c r="H23" s="6">
        <f>SUMIFS(E:E,B:B,"January",C:C,"Food")</f>
        <v>4200</v>
      </c>
    </row>
    <row r="24" spans="1:8" x14ac:dyDescent="0.3">
      <c r="A24" s="4">
        <v>45785</v>
      </c>
      <c r="B24" t="s">
        <v>33</v>
      </c>
      <c r="C24" t="s">
        <v>13</v>
      </c>
      <c r="D24" t="s">
        <v>14</v>
      </c>
      <c r="E24">
        <v>4800</v>
      </c>
    </row>
    <row r="25" spans="1:8" x14ac:dyDescent="0.3">
      <c r="A25" s="4">
        <v>45791</v>
      </c>
      <c r="B25" t="s">
        <v>33</v>
      </c>
      <c r="C25" t="s">
        <v>15</v>
      </c>
      <c r="D25" t="s">
        <v>31</v>
      </c>
      <c r="E25">
        <v>2900</v>
      </c>
    </row>
    <row r="26" spans="1:8" x14ac:dyDescent="0.3">
      <c r="A26" s="4">
        <v>45797</v>
      </c>
      <c r="B26" t="s">
        <v>33</v>
      </c>
      <c r="C26" t="s">
        <v>18</v>
      </c>
      <c r="D26" t="s">
        <v>34</v>
      </c>
      <c r="E26">
        <v>2100</v>
      </c>
    </row>
    <row r="27" spans="1:8" x14ac:dyDescent="0.3">
      <c r="A27" s="4">
        <v>45803</v>
      </c>
      <c r="B27" t="s">
        <v>33</v>
      </c>
      <c r="C27" t="s">
        <v>20</v>
      </c>
      <c r="D27" t="s">
        <v>21</v>
      </c>
      <c r="E27">
        <v>2600</v>
      </c>
    </row>
    <row r="28" spans="1:8" x14ac:dyDescent="0.3">
      <c r="A28" s="4">
        <v>45813</v>
      </c>
      <c r="B28" t="s">
        <v>35</v>
      </c>
      <c r="C28" t="s">
        <v>11</v>
      </c>
      <c r="D28" t="s">
        <v>12</v>
      </c>
      <c r="E28">
        <v>12000</v>
      </c>
      <c r="H28" s="7" t="s">
        <v>36</v>
      </c>
    </row>
    <row r="29" spans="1:8" x14ac:dyDescent="0.3">
      <c r="A29" s="4">
        <v>45817</v>
      </c>
      <c r="B29" t="s">
        <v>35</v>
      </c>
      <c r="C29" t="s">
        <v>13</v>
      </c>
      <c r="D29" t="s">
        <v>14</v>
      </c>
      <c r="E29">
        <v>5200</v>
      </c>
      <c r="H29" s="6">
        <f>AVERAGEIF(B:B,"January",E:E)</f>
        <v>4780</v>
      </c>
    </row>
    <row r="30" spans="1:8" x14ac:dyDescent="0.3">
      <c r="A30" s="4">
        <v>45821</v>
      </c>
      <c r="B30" t="s">
        <v>35</v>
      </c>
      <c r="C30" t="s">
        <v>15</v>
      </c>
      <c r="D30" t="s">
        <v>31</v>
      </c>
      <c r="E30">
        <v>3300</v>
      </c>
    </row>
    <row r="31" spans="1:8" x14ac:dyDescent="0.3">
      <c r="A31" s="4">
        <v>45826</v>
      </c>
      <c r="B31" t="s">
        <v>35</v>
      </c>
      <c r="C31" t="s">
        <v>18</v>
      </c>
      <c r="D31" t="s">
        <v>37</v>
      </c>
      <c r="E31">
        <v>2800</v>
      </c>
    </row>
    <row r="32" spans="1:8" x14ac:dyDescent="0.3">
      <c r="A32" s="4">
        <v>45833</v>
      </c>
      <c r="B32" t="s">
        <v>35</v>
      </c>
      <c r="C32" t="s">
        <v>20</v>
      </c>
      <c r="D32" t="s">
        <v>21</v>
      </c>
      <c r="E32">
        <v>2700</v>
      </c>
    </row>
    <row r="33" spans="1:5" x14ac:dyDescent="0.3">
      <c r="A33" s="4">
        <v>45843</v>
      </c>
      <c r="B33" t="s">
        <v>38</v>
      </c>
      <c r="C33" t="s">
        <v>11</v>
      </c>
      <c r="D33" t="s">
        <v>12</v>
      </c>
      <c r="E33">
        <v>12000</v>
      </c>
    </row>
    <row r="34" spans="1:5" x14ac:dyDescent="0.3">
      <c r="A34" s="4">
        <v>45846</v>
      </c>
      <c r="B34" t="s">
        <v>38</v>
      </c>
      <c r="C34" t="s">
        <v>13</v>
      </c>
      <c r="D34" t="s">
        <v>14</v>
      </c>
      <c r="E34">
        <v>4100</v>
      </c>
    </row>
    <row r="35" spans="1:5" x14ac:dyDescent="0.3">
      <c r="A35" s="4">
        <v>45850</v>
      </c>
      <c r="B35" t="s">
        <v>38</v>
      </c>
      <c r="C35" t="s">
        <v>15</v>
      </c>
      <c r="D35" t="s">
        <v>27</v>
      </c>
      <c r="E35">
        <v>2600</v>
      </c>
    </row>
    <row r="36" spans="1:5" x14ac:dyDescent="0.3">
      <c r="A36" s="4">
        <v>45857</v>
      </c>
      <c r="B36" t="s">
        <v>38</v>
      </c>
      <c r="C36" t="s">
        <v>18</v>
      </c>
      <c r="D36" t="s">
        <v>19</v>
      </c>
      <c r="E36">
        <v>1800</v>
      </c>
    </row>
    <row r="37" spans="1:5" x14ac:dyDescent="0.3">
      <c r="A37" s="4">
        <v>45864</v>
      </c>
      <c r="B37" t="s">
        <v>38</v>
      </c>
      <c r="C37" t="s">
        <v>20</v>
      </c>
      <c r="D37" t="s">
        <v>21</v>
      </c>
      <c r="E37">
        <v>2400</v>
      </c>
    </row>
    <row r="38" spans="1:5" x14ac:dyDescent="0.3">
      <c r="A38" s="4">
        <v>45874</v>
      </c>
      <c r="B38" t="s">
        <v>39</v>
      </c>
      <c r="C38" t="s">
        <v>11</v>
      </c>
      <c r="D38" t="s">
        <v>12</v>
      </c>
      <c r="E38">
        <v>12000</v>
      </c>
    </row>
    <row r="39" spans="1:5" x14ac:dyDescent="0.3">
      <c r="A39" s="4">
        <v>45878</v>
      </c>
      <c r="B39" t="s">
        <v>39</v>
      </c>
      <c r="C39" t="s">
        <v>13</v>
      </c>
      <c r="D39" t="s">
        <v>14</v>
      </c>
      <c r="E39">
        <v>4700</v>
      </c>
    </row>
    <row r="40" spans="1:5" x14ac:dyDescent="0.3">
      <c r="A40" s="4">
        <v>45883</v>
      </c>
      <c r="B40" t="s">
        <v>39</v>
      </c>
      <c r="C40" t="s">
        <v>15</v>
      </c>
      <c r="D40" t="s">
        <v>31</v>
      </c>
      <c r="E40">
        <v>3100</v>
      </c>
    </row>
    <row r="41" spans="1:5" x14ac:dyDescent="0.3">
      <c r="A41" s="4">
        <v>45889</v>
      </c>
      <c r="B41" t="s">
        <v>39</v>
      </c>
      <c r="C41" t="s">
        <v>18</v>
      </c>
      <c r="D41" t="s">
        <v>34</v>
      </c>
      <c r="E41">
        <v>2200</v>
      </c>
    </row>
    <row r="42" spans="1:5" x14ac:dyDescent="0.3">
      <c r="A42" s="4">
        <v>45895</v>
      </c>
      <c r="B42" t="s">
        <v>39</v>
      </c>
      <c r="C42" t="s">
        <v>20</v>
      </c>
      <c r="D42" t="s">
        <v>21</v>
      </c>
      <c r="E42">
        <v>2500</v>
      </c>
    </row>
    <row r="43" spans="1:5" x14ac:dyDescent="0.3">
      <c r="A43" s="4">
        <v>45905</v>
      </c>
      <c r="B43" t="s">
        <v>40</v>
      </c>
      <c r="C43" t="s">
        <v>11</v>
      </c>
      <c r="D43" t="s">
        <v>12</v>
      </c>
      <c r="E43">
        <v>12000</v>
      </c>
    </row>
    <row r="44" spans="1:5" x14ac:dyDescent="0.3">
      <c r="A44" s="4">
        <v>45908</v>
      </c>
      <c r="B44" t="s">
        <v>40</v>
      </c>
      <c r="C44" t="s">
        <v>13</v>
      </c>
      <c r="D44" t="s">
        <v>14</v>
      </c>
      <c r="E44">
        <v>4300</v>
      </c>
    </row>
    <row r="45" spans="1:5" x14ac:dyDescent="0.3">
      <c r="A45" s="4">
        <v>45913</v>
      </c>
      <c r="B45" t="s">
        <v>40</v>
      </c>
      <c r="C45" t="s">
        <v>15</v>
      </c>
      <c r="D45" t="s">
        <v>27</v>
      </c>
      <c r="E45">
        <v>2700</v>
      </c>
    </row>
    <row r="46" spans="1:5" x14ac:dyDescent="0.3">
      <c r="A46" s="4">
        <v>45918</v>
      </c>
      <c r="B46" t="s">
        <v>40</v>
      </c>
      <c r="C46" t="s">
        <v>18</v>
      </c>
      <c r="D46" t="s">
        <v>28</v>
      </c>
      <c r="E46">
        <v>2000</v>
      </c>
    </row>
    <row r="47" spans="1:5" x14ac:dyDescent="0.3">
      <c r="A47" s="4">
        <v>45925</v>
      </c>
      <c r="B47" t="s">
        <v>40</v>
      </c>
      <c r="C47" t="s">
        <v>20</v>
      </c>
      <c r="D47" t="s">
        <v>21</v>
      </c>
      <c r="E47">
        <v>2400</v>
      </c>
    </row>
    <row r="48" spans="1:5" x14ac:dyDescent="0.3">
      <c r="A48" s="4">
        <v>45935</v>
      </c>
      <c r="B48" t="s">
        <v>41</v>
      </c>
      <c r="C48" t="s">
        <v>11</v>
      </c>
      <c r="D48" t="s">
        <v>12</v>
      </c>
      <c r="E48">
        <v>12000</v>
      </c>
    </row>
    <row r="49" spans="1:5" x14ac:dyDescent="0.3">
      <c r="A49" s="4">
        <v>45939</v>
      </c>
      <c r="B49" t="s">
        <v>41</v>
      </c>
      <c r="C49" t="s">
        <v>13</v>
      </c>
      <c r="D49" t="s">
        <v>14</v>
      </c>
      <c r="E49">
        <v>5000</v>
      </c>
    </row>
    <row r="50" spans="1:5" x14ac:dyDescent="0.3">
      <c r="A50" s="4">
        <v>45944</v>
      </c>
      <c r="B50" t="s">
        <v>41</v>
      </c>
      <c r="C50" t="s">
        <v>15</v>
      </c>
      <c r="D50" t="s">
        <v>31</v>
      </c>
      <c r="E50">
        <v>3200</v>
      </c>
    </row>
    <row r="51" spans="1:5" x14ac:dyDescent="0.3">
      <c r="A51" s="4">
        <v>45950</v>
      </c>
      <c r="B51" t="s">
        <v>41</v>
      </c>
      <c r="C51" t="s">
        <v>18</v>
      </c>
      <c r="D51" t="s">
        <v>42</v>
      </c>
      <c r="E51">
        <v>3500</v>
      </c>
    </row>
    <row r="52" spans="1:5" x14ac:dyDescent="0.3">
      <c r="A52" s="4">
        <v>45956</v>
      </c>
      <c r="B52" t="s">
        <v>41</v>
      </c>
      <c r="C52" t="s">
        <v>20</v>
      </c>
      <c r="D52" t="s">
        <v>21</v>
      </c>
      <c r="E52">
        <v>2800</v>
      </c>
    </row>
    <row r="53" spans="1:5" x14ac:dyDescent="0.3">
      <c r="A53" s="4">
        <v>45966</v>
      </c>
      <c r="B53" t="s">
        <v>43</v>
      </c>
      <c r="C53" t="s">
        <v>11</v>
      </c>
      <c r="D53" t="s">
        <v>12</v>
      </c>
      <c r="E53">
        <v>12000</v>
      </c>
    </row>
    <row r="54" spans="1:5" x14ac:dyDescent="0.3">
      <c r="A54" s="4">
        <v>45969</v>
      </c>
      <c r="B54" t="s">
        <v>43</v>
      </c>
      <c r="C54" t="s">
        <v>13</v>
      </c>
      <c r="D54" t="s">
        <v>14</v>
      </c>
      <c r="E54">
        <v>4600</v>
      </c>
    </row>
    <row r="55" spans="1:5" x14ac:dyDescent="0.3">
      <c r="A55" s="4">
        <v>45974</v>
      </c>
      <c r="B55" t="s">
        <v>43</v>
      </c>
      <c r="C55" t="s">
        <v>15</v>
      </c>
      <c r="D55" t="s">
        <v>31</v>
      </c>
      <c r="E55">
        <v>3000</v>
      </c>
    </row>
    <row r="56" spans="1:5" x14ac:dyDescent="0.3">
      <c r="A56" s="4">
        <v>45980</v>
      </c>
      <c r="B56" t="s">
        <v>43</v>
      </c>
      <c r="C56" t="s">
        <v>18</v>
      </c>
      <c r="D56" t="s">
        <v>19</v>
      </c>
      <c r="E56">
        <v>2100</v>
      </c>
    </row>
    <row r="57" spans="1:5" x14ac:dyDescent="0.3">
      <c r="A57" s="4">
        <v>45986</v>
      </c>
      <c r="B57" t="s">
        <v>43</v>
      </c>
      <c r="C57" t="s">
        <v>20</v>
      </c>
      <c r="D57" t="s">
        <v>21</v>
      </c>
      <c r="E57">
        <v>2600</v>
      </c>
    </row>
    <row r="58" spans="1:5" x14ac:dyDescent="0.3">
      <c r="A58" s="4">
        <v>45996</v>
      </c>
      <c r="B58" t="s">
        <v>44</v>
      </c>
      <c r="C58" t="s">
        <v>11</v>
      </c>
      <c r="D58" t="s">
        <v>12</v>
      </c>
      <c r="E58">
        <v>12000</v>
      </c>
    </row>
    <row r="59" spans="1:5" x14ac:dyDescent="0.3">
      <c r="A59" s="4">
        <v>46000</v>
      </c>
      <c r="B59" t="s">
        <v>44</v>
      </c>
      <c r="C59" t="s">
        <v>13</v>
      </c>
      <c r="D59" t="s">
        <v>14</v>
      </c>
      <c r="E59">
        <v>5400</v>
      </c>
    </row>
    <row r="60" spans="1:5" x14ac:dyDescent="0.3">
      <c r="A60" s="4">
        <v>46005</v>
      </c>
      <c r="B60" t="s">
        <v>44</v>
      </c>
      <c r="C60" t="s">
        <v>15</v>
      </c>
      <c r="D60" t="s">
        <v>45</v>
      </c>
      <c r="E60">
        <v>3600</v>
      </c>
    </row>
    <row r="61" spans="1:5" x14ac:dyDescent="0.3">
      <c r="A61" s="4">
        <v>46011</v>
      </c>
      <c r="B61" t="s">
        <v>44</v>
      </c>
      <c r="C61" t="s">
        <v>18</v>
      </c>
      <c r="D61" t="s">
        <v>46</v>
      </c>
      <c r="E61">
        <v>4000</v>
      </c>
    </row>
    <row r="62" spans="1:5" x14ac:dyDescent="0.3">
      <c r="A62" s="4">
        <v>46017</v>
      </c>
      <c r="B62" t="s">
        <v>44</v>
      </c>
      <c r="C62" t="s">
        <v>20</v>
      </c>
      <c r="D62" t="s">
        <v>21</v>
      </c>
      <c r="E62">
        <v>3000</v>
      </c>
    </row>
    <row r="63" spans="1:5" x14ac:dyDescent="0.3">
      <c r="A63" s="4"/>
    </row>
    <row r="64" spans="1:5"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18"/>
  <sheetViews>
    <sheetView topLeftCell="A4" workbookViewId="0">
      <selection activeCell="D51" sqref="D51"/>
    </sheetView>
  </sheetViews>
  <sheetFormatPr defaultRowHeight="14.4" x14ac:dyDescent="0.3"/>
  <cols>
    <col min="1" max="1" width="13.109375" bestFit="1" customWidth="1"/>
    <col min="2" max="2" width="20.109375" bestFit="1" customWidth="1"/>
    <col min="8" max="8" width="15.33203125" customWidth="1"/>
    <col min="9" max="9" width="20.109375" bestFit="1" customWidth="1"/>
  </cols>
  <sheetData>
    <row r="3" spans="1:9" x14ac:dyDescent="0.3">
      <c r="A3" s="14" t="s">
        <v>47</v>
      </c>
      <c r="B3" t="s">
        <v>49</v>
      </c>
      <c r="D3" s="14" t="s">
        <v>47</v>
      </c>
      <c r="E3" t="s">
        <v>49</v>
      </c>
      <c r="H3" s="14" t="s">
        <v>47</v>
      </c>
      <c r="I3" t="s">
        <v>49</v>
      </c>
    </row>
    <row r="4" spans="1:9" x14ac:dyDescent="0.3">
      <c r="A4" s="15" t="s">
        <v>18</v>
      </c>
      <c r="B4">
        <v>28400</v>
      </c>
      <c r="D4" s="15" t="s">
        <v>18</v>
      </c>
      <c r="E4">
        <v>28400</v>
      </c>
      <c r="H4" s="15" t="s">
        <v>27</v>
      </c>
      <c r="I4">
        <v>7900</v>
      </c>
    </row>
    <row r="5" spans="1:9" x14ac:dyDescent="0.3">
      <c r="A5" s="15" t="s">
        <v>13</v>
      </c>
      <c r="B5">
        <v>55800</v>
      </c>
      <c r="D5" s="15" t="s">
        <v>13</v>
      </c>
      <c r="E5">
        <v>55800</v>
      </c>
      <c r="H5" s="15" t="s">
        <v>16</v>
      </c>
      <c r="I5">
        <v>6000</v>
      </c>
    </row>
    <row r="6" spans="1:9" x14ac:dyDescent="0.3">
      <c r="A6" s="15" t="s">
        <v>11</v>
      </c>
      <c r="B6">
        <v>144000</v>
      </c>
      <c r="D6" s="15" t="s">
        <v>11</v>
      </c>
      <c r="E6">
        <v>144000</v>
      </c>
      <c r="H6" s="15" t="s">
        <v>21</v>
      </c>
      <c r="I6">
        <v>28400</v>
      </c>
    </row>
    <row r="7" spans="1:9" x14ac:dyDescent="0.3">
      <c r="A7" s="15" t="s">
        <v>15</v>
      </c>
      <c r="B7">
        <v>36000</v>
      </c>
      <c r="D7" s="15" t="s">
        <v>15</v>
      </c>
      <c r="E7">
        <v>36000</v>
      </c>
      <c r="H7" s="15" t="s">
        <v>42</v>
      </c>
      <c r="I7">
        <v>3500</v>
      </c>
    </row>
    <row r="8" spans="1:9" x14ac:dyDescent="0.3">
      <c r="A8" s="15" t="s">
        <v>20</v>
      </c>
      <c r="B8">
        <v>30800</v>
      </c>
      <c r="D8" s="15" t="s">
        <v>20</v>
      </c>
      <c r="E8">
        <v>30800</v>
      </c>
      <c r="H8" s="15" t="s">
        <v>31</v>
      </c>
      <c r="I8">
        <v>18500</v>
      </c>
    </row>
    <row r="9" spans="1:9" x14ac:dyDescent="0.3">
      <c r="A9" s="15" t="s">
        <v>48</v>
      </c>
      <c r="B9">
        <v>295000</v>
      </c>
      <c r="D9" s="15" t="s">
        <v>48</v>
      </c>
      <c r="E9">
        <v>295000</v>
      </c>
      <c r="H9" s="15" t="s">
        <v>14</v>
      </c>
      <c r="I9">
        <v>55800</v>
      </c>
    </row>
    <row r="10" spans="1:9" x14ac:dyDescent="0.3">
      <c r="H10" s="15" t="s">
        <v>12</v>
      </c>
      <c r="I10">
        <v>144000</v>
      </c>
    </row>
    <row r="11" spans="1:9" x14ac:dyDescent="0.3">
      <c r="H11" s="15" t="s">
        <v>19</v>
      </c>
      <c r="I11">
        <v>10300</v>
      </c>
    </row>
    <row r="12" spans="1:9" x14ac:dyDescent="0.3">
      <c r="H12" s="15" t="s">
        <v>28</v>
      </c>
      <c r="I12">
        <v>3500</v>
      </c>
    </row>
    <row r="13" spans="1:9" x14ac:dyDescent="0.3">
      <c r="H13" s="15" t="s">
        <v>34</v>
      </c>
      <c r="I13">
        <v>4300</v>
      </c>
    </row>
    <row r="14" spans="1:9" x14ac:dyDescent="0.3">
      <c r="H14" s="15" t="s">
        <v>45</v>
      </c>
      <c r="I14">
        <v>3600</v>
      </c>
    </row>
    <row r="15" spans="1:9" x14ac:dyDescent="0.3">
      <c r="H15" s="15" t="s">
        <v>37</v>
      </c>
      <c r="I15">
        <v>2800</v>
      </c>
    </row>
    <row r="16" spans="1:9" x14ac:dyDescent="0.3">
      <c r="H16" s="15" t="s">
        <v>24</v>
      </c>
      <c r="I16">
        <v>2400</v>
      </c>
    </row>
    <row r="17" spans="8:9" x14ac:dyDescent="0.3">
      <c r="H17" s="15" t="s">
        <v>46</v>
      </c>
      <c r="I17">
        <v>4000</v>
      </c>
    </row>
    <row r="18" spans="8:9" x14ac:dyDescent="0.3">
      <c r="H18" s="15" t="s">
        <v>48</v>
      </c>
      <c r="I18">
        <v>295000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A8" workbookViewId="0">
      <selection activeCell="A44" sqref="A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workbookViewId="0">
      <selection activeCell="H17" sqref="H17"/>
    </sheetView>
  </sheetViews>
  <sheetFormatPr defaultRowHeight="14.4" x14ac:dyDescent="0.3"/>
  <cols>
    <col min="1" max="1" width="15.44140625" customWidth="1"/>
    <col min="5" max="5" width="12" customWidth="1"/>
    <col min="8" max="8" width="33.109375" customWidth="1"/>
  </cols>
  <sheetData>
    <row r="1" spans="1:8" ht="15.6" x14ac:dyDescent="0.3">
      <c r="A1" s="1" t="s">
        <v>0</v>
      </c>
      <c r="B1" s="2" t="s">
        <v>1</v>
      </c>
      <c r="C1" s="2" t="s">
        <v>2</v>
      </c>
      <c r="D1" s="2" t="s">
        <v>3</v>
      </c>
      <c r="E1" s="2" t="s">
        <v>4</v>
      </c>
    </row>
    <row r="2" spans="1:8" x14ac:dyDescent="0.3">
      <c r="A2" s="8">
        <v>45662</v>
      </c>
      <c r="B2" s="9" t="s">
        <v>10</v>
      </c>
      <c r="C2" s="9" t="s">
        <v>11</v>
      </c>
      <c r="D2" s="9" t="s">
        <v>12</v>
      </c>
      <c r="E2" s="9">
        <v>12000</v>
      </c>
    </row>
    <row r="3" spans="1:8" x14ac:dyDescent="0.3">
      <c r="A3" s="10">
        <v>45665</v>
      </c>
      <c r="B3" s="11" t="s">
        <v>10</v>
      </c>
      <c r="C3" s="11" t="s">
        <v>13</v>
      </c>
      <c r="D3" s="11" t="s">
        <v>14</v>
      </c>
      <c r="E3" s="11">
        <v>4200</v>
      </c>
    </row>
    <row r="4" spans="1:8" x14ac:dyDescent="0.3">
      <c r="A4" s="8">
        <v>45669</v>
      </c>
      <c r="B4" s="9" t="s">
        <v>10</v>
      </c>
      <c r="C4" s="9" t="s">
        <v>15</v>
      </c>
      <c r="D4" s="9" t="s">
        <v>16</v>
      </c>
      <c r="E4" s="9">
        <v>2800</v>
      </c>
    </row>
    <row r="5" spans="1:8" x14ac:dyDescent="0.3">
      <c r="A5" s="10">
        <v>45675</v>
      </c>
      <c r="B5" s="11" t="s">
        <v>10</v>
      </c>
      <c r="C5" s="11" t="s">
        <v>18</v>
      </c>
      <c r="D5" s="11" t="s">
        <v>19</v>
      </c>
      <c r="E5" s="11">
        <v>2300</v>
      </c>
    </row>
    <row r="6" spans="1:8" x14ac:dyDescent="0.3">
      <c r="A6" s="8">
        <v>45682</v>
      </c>
      <c r="B6" s="9" t="s">
        <v>10</v>
      </c>
      <c r="C6" s="9" t="s">
        <v>20</v>
      </c>
      <c r="D6" s="9" t="s">
        <v>21</v>
      </c>
      <c r="E6" s="9">
        <v>2600</v>
      </c>
    </row>
    <row r="7" spans="1:8" x14ac:dyDescent="0.3">
      <c r="A7" s="10">
        <v>45693</v>
      </c>
      <c r="B7" s="11" t="s">
        <v>22</v>
      </c>
      <c r="C7" s="11" t="s">
        <v>11</v>
      </c>
      <c r="D7" s="11" t="s">
        <v>12</v>
      </c>
      <c r="E7" s="11">
        <v>12000</v>
      </c>
    </row>
    <row r="8" spans="1:8" x14ac:dyDescent="0.3">
      <c r="A8" s="8">
        <v>45697</v>
      </c>
      <c r="B8" s="9" t="s">
        <v>22</v>
      </c>
      <c r="C8" s="9" t="s">
        <v>13</v>
      </c>
      <c r="D8" s="9" t="s">
        <v>14</v>
      </c>
      <c r="E8" s="9">
        <v>5100</v>
      </c>
    </row>
    <row r="9" spans="1:8" x14ac:dyDescent="0.3">
      <c r="A9" s="10">
        <v>45700</v>
      </c>
      <c r="B9" s="11" t="s">
        <v>22</v>
      </c>
      <c r="C9" s="11" t="s">
        <v>15</v>
      </c>
      <c r="D9" s="11" t="s">
        <v>16</v>
      </c>
      <c r="E9" s="11">
        <v>3200</v>
      </c>
    </row>
    <row r="10" spans="1:8" x14ac:dyDescent="0.3">
      <c r="A10" s="8">
        <v>45706</v>
      </c>
      <c r="B10" s="9" t="s">
        <v>22</v>
      </c>
      <c r="C10" s="9" t="s">
        <v>18</v>
      </c>
      <c r="D10" s="9" t="s">
        <v>19</v>
      </c>
      <c r="E10" s="9">
        <v>1900</v>
      </c>
      <c r="H10" s="5" t="s">
        <v>17</v>
      </c>
    </row>
    <row r="11" spans="1:8" x14ac:dyDescent="0.3">
      <c r="A11" s="10">
        <v>45712</v>
      </c>
      <c r="B11" s="11" t="s">
        <v>22</v>
      </c>
      <c r="C11" s="11" t="s">
        <v>20</v>
      </c>
      <c r="D11" s="11" t="s">
        <v>24</v>
      </c>
      <c r="E11" s="11">
        <v>2400</v>
      </c>
      <c r="H11" s="6">
        <f>SUM(E8:E67)</f>
        <v>259100</v>
      </c>
    </row>
    <row r="12" spans="1:8" x14ac:dyDescent="0.3">
      <c r="A12" s="8">
        <v>45721</v>
      </c>
      <c r="B12" s="9" t="s">
        <v>25</v>
      </c>
      <c r="C12" s="9" t="s">
        <v>11</v>
      </c>
      <c r="D12" s="9" t="s">
        <v>12</v>
      </c>
      <c r="E12" s="9">
        <v>12000</v>
      </c>
    </row>
    <row r="13" spans="1:8" x14ac:dyDescent="0.3">
      <c r="A13" s="10">
        <v>45724</v>
      </c>
      <c r="B13" s="11" t="s">
        <v>25</v>
      </c>
      <c r="C13" s="11" t="s">
        <v>13</v>
      </c>
      <c r="D13" s="11" t="s">
        <v>14</v>
      </c>
      <c r="E13" s="11">
        <v>3900</v>
      </c>
    </row>
    <row r="14" spans="1:8" x14ac:dyDescent="0.3">
      <c r="A14" s="8">
        <v>45730</v>
      </c>
      <c r="B14" s="9" t="s">
        <v>25</v>
      </c>
      <c r="C14" s="9" t="s">
        <v>15</v>
      </c>
      <c r="D14" s="9" t="s">
        <v>27</v>
      </c>
      <c r="E14" s="9">
        <v>2600</v>
      </c>
    </row>
    <row r="15" spans="1:8" x14ac:dyDescent="0.3">
      <c r="A15" s="10">
        <v>45736</v>
      </c>
      <c r="B15" s="11" t="s">
        <v>25</v>
      </c>
      <c r="C15" s="11" t="s">
        <v>18</v>
      </c>
      <c r="D15" s="11" t="s">
        <v>28</v>
      </c>
      <c r="E15" s="11">
        <v>1500</v>
      </c>
      <c r="H15" s="2" t="s">
        <v>23</v>
      </c>
    </row>
    <row r="16" spans="1:8" x14ac:dyDescent="0.3">
      <c r="A16" s="8">
        <v>45742</v>
      </c>
      <c r="B16" s="9" t="s">
        <v>25</v>
      </c>
      <c r="C16" s="9" t="s">
        <v>20</v>
      </c>
      <c r="D16" s="9" t="s">
        <v>21</v>
      </c>
      <c r="E16" s="9">
        <v>2300</v>
      </c>
      <c r="H16" s="6">
        <f>SUMIF(C:C,"food",E:E)</f>
        <v>55800</v>
      </c>
    </row>
    <row r="17" spans="1:8" x14ac:dyDescent="0.3">
      <c r="A17" s="10">
        <v>45752</v>
      </c>
      <c r="B17" s="11" t="s">
        <v>29</v>
      </c>
      <c r="C17" s="11" t="s">
        <v>11</v>
      </c>
      <c r="D17" s="11" t="s">
        <v>12</v>
      </c>
      <c r="E17" s="11">
        <v>12000</v>
      </c>
    </row>
    <row r="18" spans="1:8" x14ac:dyDescent="0.3">
      <c r="A18" s="8">
        <v>45756</v>
      </c>
      <c r="B18" s="9" t="s">
        <v>29</v>
      </c>
      <c r="C18" s="9" t="s">
        <v>13</v>
      </c>
      <c r="D18" s="9" t="s">
        <v>14</v>
      </c>
      <c r="E18" s="9">
        <v>4500</v>
      </c>
    </row>
    <row r="19" spans="1:8" x14ac:dyDescent="0.3">
      <c r="A19" s="10">
        <v>45760</v>
      </c>
      <c r="B19" s="11" t="s">
        <v>29</v>
      </c>
      <c r="C19" s="11" t="s">
        <v>15</v>
      </c>
      <c r="D19" s="11" t="s">
        <v>31</v>
      </c>
      <c r="E19" s="11">
        <v>3000</v>
      </c>
      <c r="H19" s="2" t="s">
        <v>26</v>
      </c>
    </row>
    <row r="20" spans="1:8" x14ac:dyDescent="0.3">
      <c r="A20" s="8">
        <v>45766</v>
      </c>
      <c r="B20" s="9" t="s">
        <v>29</v>
      </c>
      <c r="C20" s="9" t="s">
        <v>18</v>
      </c>
      <c r="D20" s="9" t="s">
        <v>19</v>
      </c>
      <c r="E20" s="9">
        <v>2200</v>
      </c>
      <c r="H20" s="6">
        <f>AVERAGE(E8:E67)</f>
        <v>4798.1481481481478</v>
      </c>
    </row>
    <row r="21" spans="1:8" x14ac:dyDescent="0.3">
      <c r="A21" s="10">
        <v>45772</v>
      </c>
      <c r="B21" s="11" t="s">
        <v>29</v>
      </c>
      <c r="C21" s="11" t="s">
        <v>20</v>
      </c>
      <c r="D21" s="11" t="s">
        <v>21</v>
      </c>
      <c r="E21" s="11">
        <v>2500</v>
      </c>
    </row>
    <row r="22" spans="1:8" x14ac:dyDescent="0.3">
      <c r="A22" s="8">
        <v>45782</v>
      </c>
      <c r="B22" s="9" t="s">
        <v>33</v>
      </c>
      <c r="C22" s="9" t="s">
        <v>11</v>
      </c>
      <c r="D22" s="9" t="s">
        <v>12</v>
      </c>
      <c r="E22" s="9">
        <v>12000</v>
      </c>
    </row>
    <row r="23" spans="1:8" x14ac:dyDescent="0.3">
      <c r="A23" s="10">
        <v>45785</v>
      </c>
      <c r="B23" s="11" t="s">
        <v>33</v>
      </c>
      <c r="C23" s="11" t="s">
        <v>13</v>
      </c>
      <c r="D23" s="11" t="s">
        <v>14</v>
      </c>
      <c r="E23" s="11">
        <v>4800</v>
      </c>
      <c r="H23" s="7" t="s">
        <v>30</v>
      </c>
    </row>
    <row r="24" spans="1:8" x14ac:dyDescent="0.3">
      <c r="A24" s="8">
        <v>45791</v>
      </c>
      <c r="B24" s="9" t="s">
        <v>33</v>
      </c>
      <c r="C24" s="9" t="s">
        <v>15</v>
      </c>
      <c r="D24" s="9" t="s">
        <v>31</v>
      </c>
      <c r="E24" s="9">
        <v>2900</v>
      </c>
      <c r="H24" s="6">
        <f>SUMIF(B:B,"January",E:E)</f>
        <v>23900</v>
      </c>
    </row>
    <row r="25" spans="1:8" x14ac:dyDescent="0.3">
      <c r="A25" s="10">
        <v>45797</v>
      </c>
      <c r="B25" s="11" t="s">
        <v>33</v>
      </c>
      <c r="C25" s="11" t="s">
        <v>18</v>
      </c>
      <c r="D25" s="11" t="s">
        <v>34</v>
      </c>
      <c r="E25" s="11">
        <v>2100</v>
      </c>
    </row>
    <row r="26" spans="1:8" x14ac:dyDescent="0.3">
      <c r="A26" s="8">
        <v>45803</v>
      </c>
      <c r="B26" s="9" t="s">
        <v>33</v>
      </c>
      <c r="C26" s="9" t="s">
        <v>20</v>
      </c>
      <c r="D26" s="9" t="s">
        <v>21</v>
      </c>
      <c r="E26" s="9">
        <v>2600</v>
      </c>
    </row>
    <row r="27" spans="1:8" x14ac:dyDescent="0.3">
      <c r="A27" s="10">
        <v>45813</v>
      </c>
      <c r="B27" s="11" t="s">
        <v>35</v>
      </c>
      <c r="C27" s="11" t="s">
        <v>11</v>
      </c>
      <c r="D27" s="11" t="s">
        <v>12</v>
      </c>
      <c r="E27" s="11">
        <v>12000</v>
      </c>
      <c r="H27" s="7" t="s">
        <v>32</v>
      </c>
    </row>
    <row r="28" spans="1:8" x14ac:dyDescent="0.3">
      <c r="A28" s="8">
        <v>45817</v>
      </c>
      <c r="B28" s="9" t="s">
        <v>35</v>
      </c>
      <c r="C28" s="9" t="s">
        <v>13</v>
      </c>
      <c r="D28" s="9" t="s">
        <v>14</v>
      </c>
      <c r="E28" s="9">
        <v>5200</v>
      </c>
      <c r="H28" s="6">
        <f>SUMIFS(E:E,B:B,"January",C:C,"Food")</f>
        <v>4200</v>
      </c>
    </row>
    <row r="29" spans="1:8" x14ac:dyDescent="0.3">
      <c r="A29" s="10">
        <v>45821</v>
      </c>
      <c r="B29" s="11" t="s">
        <v>35</v>
      </c>
      <c r="C29" s="11" t="s">
        <v>15</v>
      </c>
      <c r="D29" s="11" t="s">
        <v>31</v>
      </c>
      <c r="E29" s="11">
        <v>3300</v>
      </c>
    </row>
    <row r="30" spans="1:8" x14ac:dyDescent="0.3">
      <c r="A30" s="8">
        <v>45826</v>
      </c>
      <c r="B30" s="9" t="s">
        <v>35</v>
      </c>
      <c r="C30" s="9" t="s">
        <v>18</v>
      </c>
      <c r="D30" s="9" t="s">
        <v>37</v>
      </c>
      <c r="E30" s="9">
        <v>2800</v>
      </c>
    </row>
    <row r="31" spans="1:8" x14ac:dyDescent="0.3">
      <c r="A31" s="10">
        <v>45833</v>
      </c>
      <c r="B31" s="11" t="s">
        <v>35</v>
      </c>
      <c r="C31" s="11" t="s">
        <v>20</v>
      </c>
      <c r="D31" s="11" t="s">
        <v>21</v>
      </c>
      <c r="E31" s="11">
        <v>2700</v>
      </c>
    </row>
    <row r="32" spans="1:8" x14ac:dyDescent="0.3">
      <c r="A32" s="8">
        <v>45843</v>
      </c>
      <c r="B32" s="9" t="s">
        <v>38</v>
      </c>
      <c r="C32" s="9" t="s">
        <v>11</v>
      </c>
      <c r="D32" s="9" t="s">
        <v>12</v>
      </c>
      <c r="E32" s="9">
        <v>12000</v>
      </c>
    </row>
    <row r="33" spans="1:8" x14ac:dyDescent="0.3">
      <c r="A33" s="10">
        <v>45846</v>
      </c>
      <c r="B33" s="11" t="s">
        <v>38</v>
      </c>
      <c r="C33" s="11" t="s">
        <v>13</v>
      </c>
      <c r="D33" s="11" t="s">
        <v>14</v>
      </c>
      <c r="E33" s="11">
        <v>4100</v>
      </c>
      <c r="H33" s="7" t="s">
        <v>36</v>
      </c>
    </row>
    <row r="34" spans="1:8" x14ac:dyDescent="0.3">
      <c r="A34" s="8">
        <v>45850</v>
      </c>
      <c r="B34" s="9" t="s">
        <v>38</v>
      </c>
      <c r="C34" s="9" t="s">
        <v>15</v>
      </c>
      <c r="D34" s="9" t="s">
        <v>27</v>
      </c>
      <c r="E34" s="9">
        <v>2600</v>
      </c>
      <c r="H34" s="6">
        <f>AVERAGEIF(B:B,"January",E:E)</f>
        <v>4780</v>
      </c>
    </row>
    <row r="35" spans="1:8" x14ac:dyDescent="0.3">
      <c r="A35" s="10">
        <v>45857</v>
      </c>
      <c r="B35" s="11" t="s">
        <v>38</v>
      </c>
      <c r="C35" s="11" t="s">
        <v>18</v>
      </c>
      <c r="D35" s="11" t="s">
        <v>19</v>
      </c>
      <c r="E35" s="11">
        <v>1800</v>
      </c>
    </row>
    <row r="36" spans="1:8" x14ac:dyDescent="0.3">
      <c r="A36" s="8">
        <v>45864</v>
      </c>
      <c r="B36" s="9" t="s">
        <v>38</v>
      </c>
      <c r="C36" s="9" t="s">
        <v>20</v>
      </c>
      <c r="D36" s="9" t="s">
        <v>21</v>
      </c>
      <c r="E36" s="9">
        <v>2400</v>
      </c>
    </row>
    <row r="37" spans="1:8" x14ac:dyDescent="0.3">
      <c r="A37" s="10">
        <v>45874</v>
      </c>
      <c r="B37" s="11" t="s">
        <v>39</v>
      </c>
      <c r="C37" s="11" t="s">
        <v>11</v>
      </c>
      <c r="D37" s="11" t="s">
        <v>12</v>
      </c>
      <c r="E37" s="11">
        <v>12000</v>
      </c>
    </row>
    <row r="38" spans="1:8" x14ac:dyDescent="0.3">
      <c r="A38" s="8">
        <v>45878</v>
      </c>
      <c r="B38" s="9" t="s">
        <v>39</v>
      </c>
      <c r="C38" s="9" t="s">
        <v>13</v>
      </c>
      <c r="D38" s="9" t="s">
        <v>14</v>
      </c>
      <c r="E38" s="9">
        <v>4700</v>
      </c>
    </row>
    <row r="39" spans="1:8" x14ac:dyDescent="0.3">
      <c r="A39" s="10">
        <v>45883</v>
      </c>
      <c r="B39" s="11" t="s">
        <v>39</v>
      </c>
      <c r="C39" s="11" t="s">
        <v>15</v>
      </c>
      <c r="D39" s="11" t="s">
        <v>31</v>
      </c>
      <c r="E39" s="11">
        <v>3100</v>
      </c>
    </row>
    <row r="40" spans="1:8" x14ac:dyDescent="0.3">
      <c r="A40" s="8">
        <v>45889</v>
      </c>
      <c r="B40" s="9" t="s">
        <v>39</v>
      </c>
      <c r="C40" s="9" t="s">
        <v>18</v>
      </c>
      <c r="D40" s="9" t="s">
        <v>34</v>
      </c>
      <c r="E40" s="9">
        <v>2200</v>
      </c>
    </row>
    <row r="41" spans="1:8" x14ac:dyDescent="0.3">
      <c r="A41" s="10">
        <v>45895</v>
      </c>
      <c r="B41" s="11" t="s">
        <v>39</v>
      </c>
      <c r="C41" s="11" t="s">
        <v>20</v>
      </c>
      <c r="D41" s="11" t="s">
        <v>21</v>
      </c>
      <c r="E41" s="11">
        <v>2500</v>
      </c>
    </row>
    <row r="42" spans="1:8" x14ac:dyDescent="0.3">
      <c r="A42" s="8">
        <v>45905</v>
      </c>
      <c r="B42" s="9" t="s">
        <v>40</v>
      </c>
      <c r="C42" s="9" t="s">
        <v>11</v>
      </c>
      <c r="D42" s="9" t="s">
        <v>12</v>
      </c>
      <c r="E42" s="9">
        <v>12000</v>
      </c>
    </row>
    <row r="43" spans="1:8" x14ac:dyDescent="0.3">
      <c r="A43" s="10">
        <v>45908</v>
      </c>
      <c r="B43" s="11" t="s">
        <v>40</v>
      </c>
      <c r="C43" s="11" t="s">
        <v>13</v>
      </c>
      <c r="D43" s="11" t="s">
        <v>14</v>
      </c>
      <c r="E43" s="11">
        <v>4300</v>
      </c>
    </row>
    <row r="44" spans="1:8" x14ac:dyDescent="0.3">
      <c r="A44" s="8">
        <v>45913</v>
      </c>
      <c r="B44" s="9" t="s">
        <v>40</v>
      </c>
      <c r="C44" s="9" t="s">
        <v>15</v>
      </c>
      <c r="D44" s="9" t="s">
        <v>27</v>
      </c>
      <c r="E44" s="9">
        <v>2700</v>
      </c>
    </row>
    <row r="45" spans="1:8" x14ac:dyDescent="0.3">
      <c r="A45" s="10">
        <v>45918</v>
      </c>
      <c r="B45" s="11" t="s">
        <v>40</v>
      </c>
      <c r="C45" s="11" t="s">
        <v>18</v>
      </c>
      <c r="D45" s="11" t="s">
        <v>28</v>
      </c>
      <c r="E45" s="11">
        <v>2000</v>
      </c>
    </row>
    <row r="46" spans="1:8" x14ac:dyDescent="0.3">
      <c r="A46" s="8">
        <v>45925</v>
      </c>
      <c r="B46" s="9" t="s">
        <v>40</v>
      </c>
      <c r="C46" s="9" t="s">
        <v>20</v>
      </c>
      <c r="D46" s="9" t="s">
        <v>21</v>
      </c>
      <c r="E46" s="9">
        <v>2400</v>
      </c>
    </row>
    <row r="47" spans="1:8" x14ac:dyDescent="0.3">
      <c r="A47" s="10">
        <v>45935</v>
      </c>
      <c r="B47" s="11" t="s">
        <v>41</v>
      </c>
      <c r="C47" s="11" t="s">
        <v>11</v>
      </c>
      <c r="D47" s="11" t="s">
        <v>12</v>
      </c>
      <c r="E47" s="11">
        <v>12000</v>
      </c>
    </row>
    <row r="48" spans="1:8" x14ac:dyDescent="0.3">
      <c r="A48" s="8">
        <v>45939</v>
      </c>
      <c r="B48" s="9" t="s">
        <v>41</v>
      </c>
      <c r="C48" s="9" t="s">
        <v>13</v>
      </c>
      <c r="D48" s="9" t="s">
        <v>14</v>
      </c>
      <c r="E48" s="9">
        <v>5000</v>
      </c>
    </row>
    <row r="49" spans="1:5" x14ac:dyDescent="0.3">
      <c r="A49" s="10">
        <v>45944</v>
      </c>
      <c r="B49" s="11" t="s">
        <v>41</v>
      </c>
      <c r="C49" s="11" t="s">
        <v>15</v>
      </c>
      <c r="D49" s="11" t="s">
        <v>31</v>
      </c>
      <c r="E49" s="11">
        <v>3200</v>
      </c>
    </row>
    <row r="50" spans="1:5" x14ac:dyDescent="0.3">
      <c r="A50" s="8">
        <v>45950</v>
      </c>
      <c r="B50" s="9" t="s">
        <v>41</v>
      </c>
      <c r="C50" s="9" t="s">
        <v>18</v>
      </c>
      <c r="D50" s="9" t="s">
        <v>42</v>
      </c>
      <c r="E50" s="9">
        <v>3500</v>
      </c>
    </row>
    <row r="51" spans="1:5" x14ac:dyDescent="0.3">
      <c r="A51" s="10">
        <v>45956</v>
      </c>
      <c r="B51" s="11" t="s">
        <v>41</v>
      </c>
      <c r="C51" s="11" t="s">
        <v>20</v>
      </c>
      <c r="D51" s="11" t="s">
        <v>21</v>
      </c>
      <c r="E51" s="11">
        <v>2800</v>
      </c>
    </row>
    <row r="52" spans="1:5" x14ac:dyDescent="0.3">
      <c r="A52" s="8">
        <v>45966</v>
      </c>
      <c r="B52" s="9" t="s">
        <v>43</v>
      </c>
      <c r="C52" s="9" t="s">
        <v>11</v>
      </c>
      <c r="D52" s="9" t="s">
        <v>12</v>
      </c>
      <c r="E52" s="9">
        <v>12000</v>
      </c>
    </row>
    <row r="53" spans="1:5" x14ac:dyDescent="0.3">
      <c r="A53" s="10">
        <v>45969</v>
      </c>
      <c r="B53" s="11" t="s">
        <v>43</v>
      </c>
      <c r="C53" s="11" t="s">
        <v>13</v>
      </c>
      <c r="D53" s="11" t="s">
        <v>14</v>
      </c>
      <c r="E53" s="11">
        <v>4600</v>
      </c>
    </row>
    <row r="54" spans="1:5" x14ac:dyDescent="0.3">
      <c r="A54" s="8">
        <v>45974</v>
      </c>
      <c r="B54" s="9" t="s">
        <v>43</v>
      </c>
      <c r="C54" s="9" t="s">
        <v>15</v>
      </c>
      <c r="D54" s="9" t="s">
        <v>31</v>
      </c>
      <c r="E54" s="9">
        <v>3000</v>
      </c>
    </row>
    <row r="55" spans="1:5" x14ac:dyDescent="0.3">
      <c r="A55" s="10">
        <v>45980</v>
      </c>
      <c r="B55" s="11" t="s">
        <v>43</v>
      </c>
      <c r="C55" s="11" t="s">
        <v>18</v>
      </c>
      <c r="D55" s="11" t="s">
        <v>19</v>
      </c>
      <c r="E55" s="11">
        <v>2100</v>
      </c>
    </row>
    <row r="56" spans="1:5" x14ac:dyDescent="0.3">
      <c r="A56" s="8">
        <v>45986</v>
      </c>
      <c r="B56" s="9" t="s">
        <v>43</v>
      </c>
      <c r="C56" s="9" t="s">
        <v>20</v>
      </c>
      <c r="D56" s="9" t="s">
        <v>21</v>
      </c>
      <c r="E56" s="9">
        <v>2600</v>
      </c>
    </row>
    <row r="57" spans="1:5" x14ac:dyDescent="0.3">
      <c r="A57" s="10">
        <v>45996</v>
      </c>
      <c r="B57" s="11" t="s">
        <v>44</v>
      </c>
      <c r="C57" s="11" t="s">
        <v>11</v>
      </c>
      <c r="D57" s="11" t="s">
        <v>12</v>
      </c>
      <c r="E57" s="11">
        <v>12000</v>
      </c>
    </row>
    <row r="58" spans="1:5" x14ac:dyDescent="0.3">
      <c r="A58" s="8">
        <v>46000</v>
      </c>
      <c r="B58" s="9" t="s">
        <v>44</v>
      </c>
      <c r="C58" s="9" t="s">
        <v>13</v>
      </c>
      <c r="D58" s="9" t="s">
        <v>14</v>
      </c>
      <c r="E58" s="9">
        <v>5400</v>
      </c>
    </row>
    <row r="59" spans="1:5" x14ac:dyDescent="0.3">
      <c r="A59" s="10">
        <v>46005</v>
      </c>
      <c r="B59" s="11" t="s">
        <v>44</v>
      </c>
      <c r="C59" s="11" t="s">
        <v>15</v>
      </c>
      <c r="D59" s="11" t="s">
        <v>45</v>
      </c>
      <c r="E59" s="11">
        <v>3600</v>
      </c>
    </row>
    <row r="60" spans="1:5" x14ac:dyDescent="0.3">
      <c r="A60" s="8">
        <v>46011</v>
      </c>
      <c r="B60" s="9" t="s">
        <v>44</v>
      </c>
      <c r="C60" s="9" t="s">
        <v>18</v>
      </c>
      <c r="D60" s="9" t="s">
        <v>46</v>
      </c>
      <c r="E60" s="9">
        <v>4000</v>
      </c>
    </row>
    <row r="61" spans="1:5" x14ac:dyDescent="0.3">
      <c r="A61" s="12">
        <v>46017</v>
      </c>
      <c r="B61" s="13" t="s">
        <v>44</v>
      </c>
      <c r="C61" s="13" t="s">
        <v>20</v>
      </c>
      <c r="D61" s="13" t="s">
        <v>21</v>
      </c>
      <c r="E61" s="1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Sheet2</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MURIKIPUDI DIVYA</cp:lastModifiedBy>
  <dcterms:created xsi:type="dcterms:W3CDTF">2026-01-20T04:18:20Z</dcterms:created>
  <dcterms:modified xsi:type="dcterms:W3CDTF">2026-01-22T16:13:44Z</dcterms:modified>
</cp:coreProperties>
</file>